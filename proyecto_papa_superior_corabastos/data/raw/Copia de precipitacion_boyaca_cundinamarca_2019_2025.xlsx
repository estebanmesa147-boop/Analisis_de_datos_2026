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alisis de datos 2026\proyecto_papa_superior_corabastos\data\raw\"/>
    </mc:Choice>
  </mc:AlternateContent>
  <xr:revisionPtr revIDLastSave="0" documentId="8_{A04A38CB-0723-48D5-8F97-BCAA608BBAE0}" xr6:coauthVersionLast="37" xr6:coauthVersionMax="37" xr10:uidLastSave="{00000000-0000-0000-0000-000000000000}"/>
  <bookViews>
    <workbookView xWindow="0" yWindow="0" windowWidth="23040" windowHeight="8364"/>
  </bookViews>
  <sheets>
    <sheet name="precipitacion_boyaca_cundinamar" sheetId="1" r:id="rId1"/>
  </sheets>
  <calcPr calcId="179021"/>
</workbook>
</file>

<file path=xl/calcChain.xml><?xml version="1.0" encoding="utf-8"?>
<calcChain xmlns="http://schemas.openxmlformats.org/spreadsheetml/2006/main">
  <c r="I7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E14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</calcChain>
</file>

<file path=xl/sharedStrings.xml><?xml version="1.0" encoding="utf-8"?>
<sst xmlns="http://schemas.openxmlformats.org/spreadsheetml/2006/main" count="182" uniqueCount="104">
  <si>
    <t>Ano</t>
  </si>
  <si>
    <t>mes_num</t>
  </si>
  <si>
    <t>precip_mm</t>
  </si>
  <si>
    <t>mes</t>
  </si>
  <si>
    <t>0.94</t>
  </si>
  <si>
    <t>Enero</t>
  </si>
  <si>
    <t>1.98</t>
  </si>
  <si>
    <t>Febrero</t>
  </si>
  <si>
    <t>6.29</t>
  </si>
  <si>
    <t>Marzo</t>
  </si>
  <si>
    <t>7.38</t>
  </si>
  <si>
    <t>Abril</t>
  </si>
  <si>
    <t>10.78</t>
  </si>
  <si>
    <t>Mayo</t>
  </si>
  <si>
    <t>7.46</t>
  </si>
  <si>
    <t>Junio</t>
  </si>
  <si>
    <t>6.89</t>
  </si>
  <si>
    <t>Julio</t>
  </si>
  <si>
    <t>4.57</t>
  </si>
  <si>
    <t>Agosto</t>
  </si>
  <si>
    <t>5.57</t>
  </si>
  <si>
    <t>Septiembre</t>
  </si>
  <si>
    <t>8.26</t>
  </si>
  <si>
    <t>Octubre</t>
  </si>
  <si>
    <t>9.72</t>
  </si>
  <si>
    <t>Noviembre</t>
  </si>
  <si>
    <t>2.86</t>
  </si>
  <si>
    <t>Diciembre</t>
  </si>
  <si>
    <t>6.07</t>
  </si>
  <si>
    <t>1.27</t>
  </si>
  <si>
    <t>3.74</t>
  </si>
  <si>
    <t>4.3</t>
  </si>
  <si>
    <t>5.36</t>
  </si>
  <si>
    <t>5.52</t>
  </si>
  <si>
    <t>12.05</t>
  </si>
  <si>
    <t>7.6</t>
  </si>
  <si>
    <t>4.53</t>
  </si>
  <si>
    <t>4.86</t>
  </si>
  <si>
    <t>1.7</t>
  </si>
  <si>
    <t>1.68</t>
  </si>
  <si>
    <t>2.78</t>
  </si>
  <si>
    <t>4.61</t>
  </si>
  <si>
    <t>2.83</t>
  </si>
  <si>
    <t>3.22</t>
  </si>
  <si>
    <t>3.17</t>
  </si>
  <si>
    <t>4.44</t>
  </si>
  <si>
    <t>0.04</t>
  </si>
  <si>
    <t>1.86</t>
  </si>
  <si>
    <t>0.32</t>
  </si>
  <si>
    <t>0.3</t>
  </si>
  <si>
    <t>2.02</t>
  </si>
  <si>
    <t>1.93</t>
  </si>
  <si>
    <t>1.91</t>
  </si>
  <si>
    <t>1.96</t>
  </si>
  <si>
    <t>1.12</t>
  </si>
  <si>
    <t>4.04</t>
  </si>
  <si>
    <t>5.26</t>
  </si>
  <si>
    <t>9.09</t>
  </si>
  <si>
    <t>11.9</t>
  </si>
  <si>
    <t>8.67</t>
  </si>
  <si>
    <t>8.76</t>
  </si>
  <si>
    <t>6.94</t>
  </si>
  <si>
    <t>6.22</t>
  </si>
  <si>
    <t>8.23</t>
  </si>
  <si>
    <t>6.17</t>
  </si>
  <si>
    <t>2.12</t>
  </si>
  <si>
    <t>6.56</t>
  </si>
  <si>
    <t>5.68</t>
  </si>
  <si>
    <t>1.34</t>
  </si>
  <si>
    <t>4.64</t>
  </si>
  <si>
    <t>7.32</t>
  </si>
  <si>
    <t>8.24</t>
  </si>
  <si>
    <t>6.62</t>
  </si>
  <si>
    <t>6.06</t>
  </si>
  <si>
    <t>5.11</t>
  </si>
  <si>
    <t>5.14</t>
  </si>
  <si>
    <t>6.91</t>
  </si>
  <si>
    <t>5.16</t>
  </si>
  <si>
    <t>4.27</t>
  </si>
  <si>
    <t>0.28</t>
  </si>
  <si>
    <t>1.84</t>
  </si>
  <si>
    <t>2.87</t>
  </si>
  <si>
    <t>6.04</t>
  </si>
  <si>
    <t>11.63</t>
  </si>
  <si>
    <t>8.6</t>
  </si>
  <si>
    <t>4.74</t>
  </si>
  <si>
    <t>2.77</t>
  </si>
  <si>
    <t>3.7</t>
  </si>
  <si>
    <t>7.0</t>
  </si>
  <si>
    <t>7.47</t>
  </si>
  <si>
    <t>4.34</t>
  </si>
  <si>
    <t>2.26</t>
  </si>
  <si>
    <t>3.04</t>
  </si>
  <si>
    <t>7.92</t>
  </si>
  <si>
    <t>17.02</t>
  </si>
  <si>
    <t>11.17</t>
  </si>
  <si>
    <t>5.7</t>
  </si>
  <si>
    <t>4.14</t>
  </si>
  <si>
    <t>7.62</t>
  </si>
  <si>
    <t>3.68</t>
  </si>
  <si>
    <t>2.16</t>
  </si>
  <si>
    <t>Columna1</t>
  </si>
  <si>
    <t>Columna2</t>
  </si>
  <si>
    <t>Columna3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</si>
</sst>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92" totalsRowShown="0">
  <autoFilter ref="A1:G92"/>
  <tableColumns count="7">
    <tableColumn id="1" name="Ano"/>
    <tableColumn id="2" name="mes_num"/>
    <tableColumn id="3" name="precip_mm"/>
    <tableColumn id="4" name="mes"/>
    <tableColumn id="5" name="Columna1"/>
    <tableColumn id="6" name="Columna2" dataDxfId="1">
      <calculatedColumnFormula>Tabla1[[#This Row],[precip_mm]]</calculatedColumnFormula>
    </tableColumn>
    <tableColumn id="7" name="Columna3" dataDxfId="0">
      <calculatedColumnFormula>Tabla1[[#This Row],[precip_mm]]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tabSelected="1" workbookViewId="0">
      <selection activeCell="I10" sqref="I10"/>
    </sheetView>
  </sheetViews>
  <sheetFormatPr baseColWidth="10" defaultRowHeight="14.4" x14ac:dyDescent="0.3"/>
  <cols>
    <col min="3" max="3" width="12.44140625" customWidth="1"/>
    <col min="5" max="5" width="16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101</v>
      </c>
      <c r="F1" t="s">
        <v>102</v>
      </c>
      <c r="G1" t="s">
        <v>103</v>
      </c>
    </row>
    <row r="2" spans="1:9" x14ac:dyDescent="0.3">
      <c r="A2">
        <v>2019</v>
      </c>
      <c r="B2">
        <v>1</v>
      </c>
      <c r="C2" t="s">
        <v>4</v>
      </c>
      <c r="D2" t="s">
        <v>5</v>
      </c>
      <c r="F2" t="str">
        <f>Tabla1[[#This Row],[precip_mm]]</f>
        <v>0.94</v>
      </c>
      <c r="G2" t="str">
        <f>Tabla1[[#This Row],[precip_mm]]</f>
        <v>0.94</v>
      </c>
    </row>
    <row r="3" spans="1:9" x14ac:dyDescent="0.3">
      <c r="A3">
        <v>2019</v>
      </c>
      <c r="B3">
        <v>2</v>
      </c>
      <c r="C3" t="s">
        <v>6</v>
      </c>
      <c r="D3" t="s">
        <v>7</v>
      </c>
      <c r="F3" t="str">
        <f>Tabla1[[#This Row],[precip_mm]]</f>
        <v>1.98</v>
      </c>
      <c r="G3" t="str">
        <f>Tabla1[[#This Row],[precip_mm]]</f>
        <v>1.98</v>
      </c>
    </row>
    <row r="4" spans="1:9" x14ac:dyDescent="0.3">
      <c r="A4">
        <v>2019</v>
      </c>
      <c r="B4">
        <v>3</v>
      </c>
      <c r="C4" t="s">
        <v>8</v>
      </c>
      <c r="D4" t="s">
        <v>9</v>
      </c>
      <c r="F4" t="str">
        <f>Tabla1[[#This Row],[precip_mm]]</f>
        <v>6.29</v>
      </c>
      <c r="G4" t="str">
        <f>Tabla1[[#This Row],[precip_mm]]</f>
        <v>6.29</v>
      </c>
    </row>
    <row r="5" spans="1:9" x14ac:dyDescent="0.3">
      <c r="A5">
        <v>2019</v>
      </c>
      <c r="B5">
        <v>4</v>
      </c>
      <c r="C5" t="s">
        <v>10</v>
      </c>
      <c r="D5" t="s">
        <v>11</v>
      </c>
      <c r="F5" t="str">
        <f>Tabla1[[#This Row],[precip_mm]]</f>
        <v>7.38</v>
      </c>
      <c r="G5" t="str">
        <f>Tabla1[[#This Row],[precip_mm]]</f>
        <v>7.38</v>
      </c>
    </row>
    <row r="6" spans="1:9" x14ac:dyDescent="0.3">
      <c r="A6">
        <v>2019</v>
      </c>
      <c r="B6">
        <v>5</v>
      </c>
      <c r="C6" t="s">
        <v>12</v>
      </c>
      <c r="D6" t="s">
        <v>13</v>
      </c>
      <c r="F6" t="str">
        <f>Tabla1[[#This Row],[precip_mm]]</f>
        <v>10.78</v>
      </c>
      <c r="G6" t="str">
        <f>Tabla1[[#This Row],[precip_mm]]</f>
        <v>10.78</v>
      </c>
    </row>
    <row r="7" spans="1:9" x14ac:dyDescent="0.3">
      <c r="A7">
        <v>2019</v>
      </c>
      <c r="B7">
        <v>6</v>
      </c>
      <c r="C7" t="s">
        <v>14</v>
      </c>
      <c r="D7" t="s">
        <v>15</v>
      </c>
      <c r="F7" t="str">
        <f>Tabla1[[#This Row],[precip_mm]]</f>
        <v>7.46</v>
      </c>
      <c r="G7" t="str">
        <f>Tabla1[[#This Row],[precip_mm]]</f>
        <v>7.46</v>
      </c>
      <c r="I7">
        <f>SUM(C2:C13)</f>
        <v>0</v>
      </c>
    </row>
    <row r="8" spans="1:9" x14ac:dyDescent="0.3">
      <c r="A8">
        <v>2019</v>
      </c>
      <c r="B8">
        <v>7</v>
      </c>
      <c r="C8" t="s">
        <v>16</v>
      </c>
      <c r="D8" t="s">
        <v>17</v>
      </c>
      <c r="F8" t="str">
        <f>Tabla1[[#This Row],[precip_mm]]</f>
        <v>6.89</v>
      </c>
      <c r="G8" t="str">
        <f>Tabla1[[#This Row],[precip_mm]]</f>
        <v>6.89</v>
      </c>
    </row>
    <row r="9" spans="1:9" x14ac:dyDescent="0.3">
      <c r="A9">
        <v>2019</v>
      </c>
      <c r="B9">
        <v>8</v>
      </c>
      <c r="C9" t="s">
        <v>18</v>
      </c>
      <c r="D9" t="s">
        <v>19</v>
      </c>
      <c r="F9" t="str">
        <f>Tabla1[[#This Row],[precip_mm]]</f>
        <v>4.57</v>
      </c>
      <c r="G9" t="str">
        <f>Tabla1[[#This Row],[precip_mm]]</f>
        <v>4.57</v>
      </c>
    </row>
    <row r="10" spans="1:9" x14ac:dyDescent="0.3">
      <c r="A10">
        <v>2019</v>
      </c>
      <c r="B10">
        <v>9</v>
      </c>
      <c r="C10" t="s">
        <v>20</v>
      </c>
      <c r="D10" t="s">
        <v>21</v>
      </c>
      <c r="F10" t="str">
        <f>Tabla1[[#This Row],[precip_mm]]</f>
        <v>5.57</v>
      </c>
      <c r="G10" t="str">
        <f>Tabla1[[#This Row],[precip_mm]]</f>
        <v>5.57</v>
      </c>
    </row>
    <row r="11" spans="1:9" x14ac:dyDescent="0.3">
      <c r="A11">
        <v>2019</v>
      </c>
      <c r="B11">
        <v>10</v>
      </c>
      <c r="C11" t="s">
        <v>22</v>
      </c>
      <c r="D11" t="s">
        <v>23</v>
      </c>
      <c r="F11" t="str">
        <f>Tabla1[[#This Row],[precip_mm]]</f>
        <v>8.26</v>
      </c>
      <c r="G11" t="str">
        <f>Tabla1[[#This Row],[precip_mm]]</f>
        <v>8.26</v>
      </c>
    </row>
    <row r="12" spans="1:9" x14ac:dyDescent="0.3">
      <c r="A12">
        <v>2019</v>
      </c>
      <c r="B12">
        <v>11</v>
      </c>
      <c r="C12" t="s">
        <v>24</v>
      </c>
      <c r="D12" t="s">
        <v>25</v>
      </c>
      <c r="F12" t="str">
        <f>Tabla1[[#This Row],[precip_mm]]</f>
        <v>9.72</v>
      </c>
      <c r="G12" t="str">
        <f>Tabla1[[#This Row],[precip_mm]]</f>
        <v>9.72</v>
      </c>
    </row>
    <row r="13" spans="1:9" x14ac:dyDescent="0.3">
      <c r="A13">
        <v>2019</v>
      </c>
      <c r="B13">
        <v>12</v>
      </c>
      <c r="C13" t="s">
        <v>26</v>
      </c>
      <c r="D13" t="s">
        <v>27</v>
      </c>
      <c r="F13" t="str">
        <f>Tabla1[[#This Row],[precip_mm]]</f>
        <v>2.86</v>
      </c>
      <c r="G13" t="str">
        <f>Tabla1[[#This Row],[precip_mm]]</f>
        <v>2.86</v>
      </c>
    </row>
    <row r="14" spans="1:9" x14ac:dyDescent="0.3">
      <c r="A14">
        <v>2019</v>
      </c>
      <c r="B14">
        <v>13</v>
      </c>
      <c r="C14" t="s">
        <v>28</v>
      </c>
      <c r="E14" t="e">
        <f>AVERAGE(C2:C13)</f>
        <v>#DIV/0!</v>
      </c>
      <c r="F14" t="str">
        <f>Tabla1[[#This Row],[precip_mm]]</f>
        <v>6.07</v>
      </c>
      <c r="G14" t="str">
        <f>Tabla1[[#This Row],[precip_mm]]</f>
        <v>6.07</v>
      </c>
    </row>
    <row r="15" spans="1:9" x14ac:dyDescent="0.3">
      <c r="A15">
        <v>2020</v>
      </c>
      <c r="B15">
        <v>1</v>
      </c>
      <c r="C15" t="s">
        <v>29</v>
      </c>
      <c r="D15" t="s">
        <v>5</v>
      </c>
      <c r="F15" t="str">
        <f>Tabla1[[#This Row],[precip_mm]]</f>
        <v>1.27</v>
      </c>
      <c r="G15" t="str">
        <f>Tabla1[[#This Row],[precip_mm]]</f>
        <v>1.27</v>
      </c>
    </row>
    <row r="16" spans="1:9" x14ac:dyDescent="0.3">
      <c r="A16">
        <v>2020</v>
      </c>
      <c r="B16">
        <v>2</v>
      </c>
      <c r="C16" t="s">
        <v>30</v>
      </c>
      <c r="D16" t="s">
        <v>7</v>
      </c>
      <c r="F16" t="str">
        <f>Tabla1[[#This Row],[precip_mm]]</f>
        <v>3.74</v>
      </c>
      <c r="G16" t="str">
        <f>Tabla1[[#This Row],[precip_mm]]</f>
        <v>3.74</v>
      </c>
    </row>
    <row r="17" spans="1:7" x14ac:dyDescent="0.3">
      <c r="A17">
        <v>2020</v>
      </c>
      <c r="B17">
        <v>3</v>
      </c>
      <c r="C17" t="s">
        <v>31</v>
      </c>
      <c r="D17" t="s">
        <v>9</v>
      </c>
      <c r="F17" t="str">
        <f>Tabla1[[#This Row],[precip_mm]]</f>
        <v>4.3</v>
      </c>
      <c r="G17" t="str">
        <f>Tabla1[[#This Row],[precip_mm]]</f>
        <v>4.3</v>
      </c>
    </row>
    <row r="18" spans="1:7" x14ac:dyDescent="0.3">
      <c r="A18">
        <v>2020</v>
      </c>
      <c r="B18">
        <v>4</v>
      </c>
      <c r="C18" t="s">
        <v>32</v>
      </c>
      <c r="D18" t="s">
        <v>11</v>
      </c>
      <c r="F18" t="str">
        <f>Tabla1[[#This Row],[precip_mm]]</f>
        <v>5.36</v>
      </c>
      <c r="G18" t="str">
        <f>Tabla1[[#This Row],[precip_mm]]</f>
        <v>5.36</v>
      </c>
    </row>
    <row r="19" spans="1:7" x14ac:dyDescent="0.3">
      <c r="A19">
        <v>2020</v>
      </c>
      <c r="B19">
        <v>5</v>
      </c>
      <c r="C19" t="s">
        <v>33</v>
      </c>
      <c r="D19" t="s">
        <v>13</v>
      </c>
      <c r="F19" t="str">
        <f>Tabla1[[#This Row],[precip_mm]]</f>
        <v>5.52</v>
      </c>
      <c r="G19" t="str">
        <f>Tabla1[[#This Row],[precip_mm]]</f>
        <v>5.52</v>
      </c>
    </row>
    <row r="20" spans="1:7" x14ac:dyDescent="0.3">
      <c r="A20">
        <v>2020</v>
      </c>
      <c r="B20">
        <v>6</v>
      </c>
      <c r="C20" t="s">
        <v>34</v>
      </c>
      <c r="D20" t="s">
        <v>15</v>
      </c>
      <c r="F20" t="str">
        <f>Tabla1[[#This Row],[precip_mm]]</f>
        <v>12.05</v>
      </c>
      <c r="G20" t="str">
        <f>Tabla1[[#This Row],[precip_mm]]</f>
        <v>12.05</v>
      </c>
    </row>
    <row r="21" spans="1:7" x14ac:dyDescent="0.3">
      <c r="A21">
        <v>2020</v>
      </c>
      <c r="B21">
        <v>7</v>
      </c>
      <c r="C21" t="s">
        <v>35</v>
      </c>
      <c r="D21" t="s">
        <v>17</v>
      </c>
      <c r="F21" t="str">
        <f>Tabla1[[#This Row],[precip_mm]]</f>
        <v>7.6</v>
      </c>
      <c r="G21" t="str">
        <f>Tabla1[[#This Row],[precip_mm]]</f>
        <v>7.6</v>
      </c>
    </row>
    <row r="22" spans="1:7" x14ac:dyDescent="0.3">
      <c r="A22">
        <v>2020</v>
      </c>
      <c r="B22">
        <v>8</v>
      </c>
      <c r="C22" t="s">
        <v>36</v>
      </c>
      <c r="D22" t="s">
        <v>19</v>
      </c>
      <c r="F22" t="str">
        <f>Tabla1[[#This Row],[precip_mm]]</f>
        <v>4.53</v>
      </c>
      <c r="G22" t="str">
        <f>Tabla1[[#This Row],[precip_mm]]</f>
        <v>4.53</v>
      </c>
    </row>
    <row r="23" spans="1:7" x14ac:dyDescent="0.3">
      <c r="A23">
        <v>2020</v>
      </c>
      <c r="B23">
        <v>9</v>
      </c>
      <c r="C23" t="s">
        <v>37</v>
      </c>
      <c r="D23" t="s">
        <v>21</v>
      </c>
      <c r="F23" t="str">
        <f>Tabla1[[#This Row],[precip_mm]]</f>
        <v>4.86</v>
      </c>
      <c r="G23" t="str">
        <f>Tabla1[[#This Row],[precip_mm]]</f>
        <v>4.86</v>
      </c>
    </row>
    <row r="24" spans="1:7" x14ac:dyDescent="0.3">
      <c r="A24">
        <v>2020</v>
      </c>
      <c r="B24">
        <v>10</v>
      </c>
      <c r="C24" t="s">
        <v>38</v>
      </c>
      <c r="D24" t="s">
        <v>23</v>
      </c>
      <c r="F24" t="str">
        <f>Tabla1[[#This Row],[precip_mm]]</f>
        <v>1.7</v>
      </c>
      <c r="G24" t="str">
        <f>Tabla1[[#This Row],[precip_mm]]</f>
        <v>1.7</v>
      </c>
    </row>
    <row r="25" spans="1:7" x14ac:dyDescent="0.3">
      <c r="A25">
        <v>2020</v>
      </c>
      <c r="B25">
        <v>11</v>
      </c>
      <c r="C25" t="s">
        <v>39</v>
      </c>
      <c r="D25" t="s">
        <v>25</v>
      </c>
      <c r="F25" t="str">
        <f>Tabla1[[#This Row],[precip_mm]]</f>
        <v>1.68</v>
      </c>
      <c r="G25" t="str">
        <f>Tabla1[[#This Row],[precip_mm]]</f>
        <v>1.68</v>
      </c>
    </row>
    <row r="26" spans="1:7" x14ac:dyDescent="0.3">
      <c r="A26">
        <v>2020</v>
      </c>
      <c r="B26">
        <v>12</v>
      </c>
      <c r="C26" t="s">
        <v>40</v>
      </c>
      <c r="D26" t="s">
        <v>27</v>
      </c>
      <c r="F26" t="str">
        <f>Tabla1[[#This Row],[precip_mm]]</f>
        <v>2.78</v>
      </c>
      <c r="G26" t="str">
        <f>Tabla1[[#This Row],[precip_mm]]</f>
        <v>2.78</v>
      </c>
    </row>
    <row r="27" spans="1:7" x14ac:dyDescent="0.3">
      <c r="A27">
        <v>2020</v>
      </c>
      <c r="B27">
        <v>13</v>
      </c>
      <c r="C27" t="s">
        <v>41</v>
      </c>
      <c r="F27" t="str">
        <f>Tabla1[[#This Row],[precip_mm]]</f>
        <v>4.61</v>
      </c>
      <c r="G27" t="str">
        <f>Tabla1[[#This Row],[precip_mm]]</f>
        <v>4.61</v>
      </c>
    </row>
    <row r="28" spans="1:7" x14ac:dyDescent="0.3">
      <c r="A28">
        <v>2021</v>
      </c>
      <c r="B28">
        <v>1</v>
      </c>
      <c r="C28" t="s">
        <v>42</v>
      </c>
      <c r="D28" t="s">
        <v>5</v>
      </c>
      <c r="F28" t="str">
        <f>Tabla1[[#This Row],[precip_mm]]</f>
        <v>2.83</v>
      </c>
      <c r="G28" t="str">
        <f>Tabla1[[#This Row],[precip_mm]]</f>
        <v>2.83</v>
      </c>
    </row>
    <row r="29" spans="1:7" x14ac:dyDescent="0.3">
      <c r="A29">
        <v>2021</v>
      </c>
      <c r="B29">
        <v>2</v>
      </c>
      <c r="C29" t="s">
        <v>43</v>
      </c>
      <c r="D29" t="s">
        <v>7</v>
      </c>
      <c r="F29" t="str">
        <f>Tabla1[[#This Row],[precip_mm]]</f>
        <v>3.22</v>
      </c>
      <c r="G29" t="str">
        <f>Tabla1[[#This Row],[precip_mm]]</f>
        <v>3.22</v>
      </c>
    </row>
    <row r="30" spans="1:7" x14ac:dyDescent="0.3">
      <c r="A30">
        <v>2021</v>
      </c>
      <c r="B30">
        <v>3</v>
      </c>
      <c r="C30" t="s">
        <v>44</v>
      </c>
      <c r="D30" t="s">
        <v>9</v>
      </c>
      <c r="F30" t="str">
        <f>Tabla1[[#This Row],[precip_mm]]</f>
        <v>3.17</v>
      </c>
      <c r="G30" t="str">
        <f>Tabla1[[#This Row],[precip_mm]]</f>
        <v>3.17</v>
      </c>
    </row>
    <row r="31" spans="1:7" x14ac:dyDescent="0.3">
      <c r="A31">
        <v>2021</v>
      </c>
      <c r="B31">
        <v>4</v>
      </c>
      <c r="C31" t="s">
        <v>45</v>
      </c>
      <c r="D31" t="s">
        <v>11</v>
      </c>
      <c r="F31" t="str">
        <f>Tabla1[[#This Row],[precip_mm]]</f>
        <v>4.44</v>
      </c>
      <c r="G31" t="str">
        <f>Tabla1[[#This Row],[precip_mm]]</f>
        <v>4.44</v>
      </c>
    </row>
    <row r="32" spans="1:7" x14ac:dyDescent="0.3">
      <c r="A32">
        <v>2021</v>
      </c>
      <c r="B32">
        <v>5</v>
      </c>
      <c r="C32" t="s">
        <v>46</v>
      </c>
      <c r="D32" t="s">
        <v>13</v>
      </c>
      <c r="F32" t="str">
        <f>Tabla1[[#This Row],[precip_mm]]</f>
        <v>0.04</v>
      </c>
      <c r="G32" t="str">
        <f>Tabla1[[#This Row],[precip_mm]]</f>
        <v>0.04</v>
      </c>
    </row>
    <row r="33" spans="1:7" x14ac:dyDescent="0.3">
      <c r="A33">
        <v>2021</v>
      </c>
      <c r="B33">
        <v>6</v>
      </c>
      <c r="C33" t="s">
        <v>47</v>
      </c>
      <c r="D33" t="s">
        <v>15</v>
      </c>
      <c r="F33" t="str">
        <f>Tabla1[[#This Row],[precip_mm]]</f>
        <v>1.86</v>
      </c>
      <c r="G33" t="str">
        <f>Tabla1[[#This Row],[precip_mm]]</f>
        <v>1.86</v>
      </c>
    </row>
    <row r="34" spans="1:7" x14ac:dyDescent="0.3">
      <c r="A34">
        <v>2021</v>
      </c>
      <c r="B34">
        <v>7</v>
      </c>
      <c r="C34" t="s">
        <v>48</v>
      </c>
      <c r="D34" t="s">
        <v>17</v>
      </c>
      <c r="F34" t="str">
        <f>Tabla1[[#This Row],[precip_mm]]</f>
        <v>0.32</v>
      </c>
      <c r="G34" t="str">
        <f>Tabla1[[#This Row],[precip_mm]]</f>
        <v>0.32</v>
      </c>
    </row>
    <row r="35" spans="1:7" x14ac:dyDescent="0.3">
      <c r="A35">
        <v>2021</v>
      </c>
      <c r="B35">
        <v>8</v>
      </c>
      <c r="C35" t="s">
        <v>49</v>
      </c>
      <c r="D35" t="s">
        <v>19</v>
      </c>
      <c r="F35" t="str">
        <f>Tabla1[[#This Row],[precip_mm]]</f>
        <v>0.3</v>
      </c>
      <c r="G35" t="str">
        <f>Tabla1[[#This Row],[precip_mm]]</f>
        <v>0.3</v>
      </c>
    </row>
    <row r="36" spans="1:7" x14ac:dyDescent="0.3">
      <c r="A36">
        <v>2021</v>
      </c>
      <c r="B36">
        <v>9</v>
      </c>
      <c r="C36" t="s">
        <v>38</v>
      </c>
      <c r="D36" t="s">
        <v>21</v>
      </c>
      <c r="F36" t="str">
        <f>Tabla1[[#This Row],[precip_mm]]</f>
        <v>1.7</v>
      </c>
      <c r="G36" t="str">
        <f>Tabla1[[#This Row],[precip_mm]]</f>
        <v>1.7</v>
      </c>
    </row>
    <row r="37" spans="1:7" x14ac:dyDescent="0.3">
      <c r="A37">
        <v>2021</v>
      </c>
      <c r="B37">
        <v>10</v>
      </c>
      <c r="C37" t="s">
        <v>50</v>
      </c>
      <c r="D37" t="s">
        <v>23</v>
      </c>
      <c r="F37" t="str">
        <f>Tabla1[[#This Row],[precip_mm]]</f>
        <v>2.02</v>
      </c>
      <c r="G37" t="str">
        <f>Tabla1[[#This Row],[precip_mm]]</f>
        <v>2.02</v>
      </c>
    </row>
    <row r="38" spans="1:7" x14ac:dyDescent="0.3">
      <c r="A38">
        <v>2021</v>
      </c>
      <c r="B38">
        <v>11</v>
      </c>
      <c r="C38" t="s">
        <v>51</v>
      </c>
      <c r="D38" t="s">
        <v>25</v>
      </c>
      <c r="F38" t="str">
        <f>Tabla1[[#This Row],[precip_mm]]</f>
        <v>1.93</v>
      </c>
      <c r="G38" t="str">
        <f>Tabla1[[#This Row],[precip_mm]]</f>
        <v>1.93</v>
      </c>
    </row>
    <row r="39" spans="1:7" x14ac:dyDescent="0.3">
      <c r="A39">
        <v>2021</v>
      </c>
      <c r="B39">
        <v>12</v>
      </c>
      <c r="C39" t="s">
        <v>52</v>
      </c>
      <c r="D39" t="s">
        <v>27</v>
      </c>
      <c r="F39" t="str">
        <f>Tabla1[[#This Row],[precip_mm]]</f>
        <v>1.91</v>
      </c>
      <c r="G39" t="str">
        <f>Tabla1[[#This Row],[precip_mm]]</f>
        <v>1.91</v>
      </c>
    </row>
    <row r="40" spans="1:7" x14ac:dyDescent="0.3">
      <c r="A40">
        <v>2021</v>
      </c>
      <c r="B40">
        <v>13</v>
      </c>
      <c r="C40" t="s">
        <v>53</v>
      </c>
      <c r="F40" t="str">
        <f>Tabla1[[#This Row],[precip_mm]]</f>
        <v>1.96</v>
      </c>
      <c r="G40" t="str">
        <f>Tabla1[[#This Row],[precip_mm]]</f>
        <v>1.96</v>
      </c>
    </row>
    <row r="41" spans="1:7" x14ac:dyDescent="0.3">
      <c r="A41">
        <v>2022</v>
      </c>
      <c r="B41">
        <v>1</v>
      </c>
      <c r="C41" t="s">
        <v>54</v>
      </c>
      <c r="D41" t="s">
        <v>5</v>
      </c>
      <c r="F41" t="str">
        <f>Tabla1[[#This Row],[precip_mm]]</f>
        <v>1.12</v>
      </c>
      <c r="G41" t="str">
        <f>Tabla1[[#This Row],[precip_mm]]</f>
        <v>1.12</v>
      </c>
    </row>
    <row r="42" spans="1:7" x14ac:dyDescent="0.3">
      <c r="A42">
        <v>2022</v>
      </c>
      <c r="B42">
        <v>2</v>
      </c>
      <c r="C42" t="s">
        <v>55</v>
      </c>
      <c r="D42" t="s">
        <v>7</v>
      </c>
      <c r="F42" t="str">
        <f>Tabla1[[#This Row],[precip_mm]]</f>
        <v>4.04</v>
      </c>
      <c r="G42" t="str">
        <f>Tabla1[[#This Row],[precip_mm]]</f>
        <v>4.04</v>
      </c>
    </row>
    <row r="43" spans="1:7" x14ac:dyDescent="0.3">
      <c r="A43">
        <v>2022</v>
      </c>
      <c r="B43">
        <v>3</v>
      </c>
      <c r="C43" t="s">
        <v>56</v>
      </c>
      <c r="D43" t="s">
        <v>9</v>
      </c>
      <c r="F43" t="str">
        <f>Tabla1[[#This Row],[precip_mm]]</f>
        <v>5.26</v>
      </c>
      <c r="G43" t="str">
        <f>Tabla1[[#This Row],[precip_mm]]</f>
        <v>5.26</v>
      </c>
    </row>
    <row r="44" spans="1:7" x14ac:dyDescent="0.3">
      <c r="A44">
        <v>2022</v>
      </c>
      <c r="B44">
        <v>4</v>
      </c>
      <c r="C44" t="s">
        <v>57</v>
      </c>
      <c r="D44" t="s">
        <v>11</v>
      </c>
      <c r="F44" t="str">
        <f>Tabla1[[#This Row],[precip_mm]]</f>
        <v>9.09</v>
      </c>
      <c r="G44" t="str">
        <f>Tabla1[[#This Row],[precip_mm]]</f>
        <v>9.09</v>
      </c>
    </row>
    <row r="45" spans="1:7" x14ac:dyDescent="0.3">
      <c r="A45">
        <v>2022</v>
      </c>
      <c r="B45">
        <v>5</v>
      </c>
      <c r="C45" t="s">
        <v>58</v>
      </c>
      <c r="D45" t="s">
        <v>13</v>
      </c>
      <c r="F45" t="str">
        <f>Tabla1[[#This Row],[precip_mm]]</f>
        <v>11.9</v>
      </c>
      <c r="G45" t="str">
        <f>Tabla1[[#This Row],[precip_mm]]</f>
        <v>11.9</v>
      </c>
    </row>
    <row r="46" spans="1:7" x14ac:dyDescent="0.3">
      <c r="A46">
        <v>2022</v>
      </c>
      <c r="B46">
        <v>6</v>
      </c>
      <c r="C46" t="s">
        <v>59</v>
      </c>
      <c r="D46" t="s">
        <v>15</v>
      </c>
      <c r="F46" t="str">
        <f>Tabla1[[#This Row],[precip_mm]]</f>
        <v>8.67</v>
      </c>
      <c r="G46" t="str">
        <f>Tabla1[[#This Row],[precip_mm]]</f>
        <v>8.67</v>
      </c>
    </row>
    <row r="47" spans="1:7" x14ac:dyDescent="0.3">
      <c r="A47">
        <v>2022</v>
      </c>
      <c r="B47">
        <v>7</v>
      </c>
      <c r="C47" t="s">
        <v>60</v>
      </c>
      <c r="D47" t="s">
        <v>17</v>
      </c>
      <c r="F47" t="str">
        <f>Tabla1[[#This Row],[precip_mm]]</f>
        <v>8.76</v>
      </c>
      <c r="G47" t="str">
        <f>Tabla1[[#This Row],[precip_mm]]</f>
        <v>8.76</v>
      </c>
    </row>
    <row r="48" spans="1:7" x14ac:dyDescent="0.3">
      <c r="A48">
        <v>2022</v>
      </c>
      <c r="B48">
        <v>8</v>
      </c>
      <c r="C48" t="s">
        <v>61</v>
      </c>
      <c r="D48" t="s">
        <v>19</v>
      </c>
      <c r="F48" t="str">
        <f>Tabla1[[#This Row],[precip_mm]]</f>
        <v>6.94</v>
      </c>
      <c r="G48" t="str">
        <f>Tabla1[[#This Row],[precip_mm]]</f>
        <v>6.94</v>
      </c>
    </row>
    <row r="49" spans="1:7" x14ac:dyDescent="0.3">
      <c r="A49">
        <v>2022</v>
      </c>
      <c r="B49">
        <v>9</v>
      </c>
      <c r="C49" t="s">
        <v>62</v>
      </c>
      <c r="D49" t="s">
        <v>21</v>
      </c>
      <c r="F49" t="str">
        <f>Tabla1[[#This Row],[precip_mm]]</f>
        <v>6.22</v>
      </c>
      <c r="G49" t="str">
        <f>Tabla1[[#This Row],[precip_mm]]</f>
        <v>6.22</v>
      </c>
    </row>
    <row r="50" spans="1:7" x14ac:dyDescent="0.3">
      <c r="A50">
        <v>2022</v>
      </c>
      <c r="B50">
        <v>10</v>
      </c>
      <c r="C50" t="s">
        <v>63</v>
      </c>
      <c r="D50" t="s">
        <v>23</v>
      </c>
      <c r="F50" t="str">
        <f>Tabla1[[#This Row],[precip_mm]]</f>
        <v>8.23</v>
      </c>
      <c r="G50" t="str">
        <f>Tabla1[[#This Row],[precip_mm]]</f>
        <v>8.23</v>
      </c>
    </row>
    <row r="51" spans="1:7" x14ac:dyDescent="0.3">
      <c r="A51">
        <v>2022</v>
      </c>
      <c r="B51">
        <v>11</v>
      </c>
      <c r="C51" t="s">
        <v>64</v>
      </c>
      <c r="D51" t="s">
        <v>25</v>
      </c>
      <c r="F51" t="str">
        <f>Tabla1[[#This Row],[precip_mm]]</f>
        <v>6.17</v>
      </c>
      <c r="G51" t="str">
        <f>Tabla1[[#This Row],[precip_mm]]</f>
        <v>6.17</v>
      </c>
    </row>
    <row r="52" spans="1:7" x14ac:dyDescent="0.3">
      <c r="A52">
        <v>2022</v>
      </c>
      <c r="B52">
        <v>12</v>
      </c>
      <c r="C52" t="s">
        <v>65</v>
      </c>
      <c r="D52" t="s">
        <v>27</v>
      </c>
      <c r="F52" t="str">
        <f>Tabla1[[#This Row],[precip_mm]]</f>
        <v>2.12</v>
      </c>
      <c r="G52" t="str">
        <f>Tabla1[[#This Row],[precip_mm]]</f>
        <v>2.12</v>
      </c>
    </row>
    <row r="53" spans="1:7" x14ac:dyDescent="0.3">
      <c r="A53">
        <v>2022</v>
      </c>
      <c r="B53">
        <v>13</v>
      </c>
      <c r="C53" t="s">
        <v>66</v>
      </c>
      <c r="F53" t="str">
        <f>Tabla1[[#This Row],[precip_mm]]</f>
        <v>6.56</v>
      </c>
      <c r="G53" t="str">
        <f>Tabla1[[#This Row],[precip_mm]]</f>
        <v>6.56</v>
      </c>
    </row>
    <row r="54" spans="1:7" x14ac:dyDescent="0.3">
      <c r="A54">
        <v>2023</v>
      </c>
      <c r="B54">
        <v>1</v>
      </c>
      <c r="C54" t="s">
        <v>67</v>
      </c>
      <c r="D54" t="s">
        <v>5</v>
      </c>
      <c r="F54" t="str">
        <f>Tabla1[[#This Row],[precip_mm]]</f>
        <v>5.68</v>
      </c>
      <c r="G54" t="str">
        <f>Tabla1[[#This Row],[precip_mm]]</f>
        <v>5.68</v>
      </c>
    </row>
    <row r="55" spans="1:7" x14ac:dyDescent="0.3">
      <c r="A55">
        <v>2023</v>
      </c>
      <c r="B55">
        <v>2</v>
      </c>
      <c r="C55" t="s">
        <v>68</v>
      </c>
      <c r="D55" t="s">
        <v>7</v>
      </c>
      <c r="F55" t="str">
        <f>Tabla1[[#This Row],[precip_mm]]</f>
        <v>1.34</v>
      </c>
      <c r="G55" t="str">
        <f>Tabla1[[#This Row],[precip_mm]]</f>
        <v>1.34</v>
      </c>
    </row>
    <row r="56" spans="1:7" x14ac:dyDescent="0.3">
      <c r="A56">
        <v>2023</v>
      </c>
      <c r="B56">
        <v>3</v>
      </c>
      <c r="C56" t="s">
        <v>69</v>
      </c>
      <c r="D56" t="s">
        <v>9</v>
      </c>
      <c r="F56" t="str">
        <f>Tabla1[[#This Row],[precip_mm]]</f>
        <v>4.64</v>
      </c>
      <c r="G56" t="str">
        <f>Tabla1[[#This Row],[precip_mm]]</f>
        <v>4.64</v>
      </c>
    </row>
    <row r="57" spans="1:7" x14ac:dyDescent="0.3">
      <c r="A57">
        <v>2023</v>
      </c>
      <c r="B57">
        <v>4</v>
      </c>
      <c r="C57" t="s">
        <v>70</v>
      </c>
      <c r="D57" t="s">
        <v>11</v>
      </c>
      <c r="F57" t="str">
        <f>Tabla1[[#This Row],[precip_mm]]</f>
        <v>7.32</v>
      </c>
      <c r="G57" t="str">
        <f>Tabla1[[#This Row],[precip_mm]]</f>
        <v>7.32</v>
      </c>
    </row>
    <row r="58" spans="1:7" x14ac:dyDescent="0.3">
      <c r="A58">
        <v>2023</v>
      </c>
      <c r="B58">
        <v>5</v>
      </c>
      <c r="C58" t="s">
        <v>71</v>
      </c>
      <c r="D58" t="s">
        <v>13</v>
      </c>
      <c r="F58" t="str">
        <f>Tabla1[[#This Row],[precip_mm]]</f>
        <v>8.24</v>
      </c>
      <c r="G58" t="str">
        <f>Tabla1[[#This Row],[precip_mm]]</f>
        <v>8.24</v>
      </c>
    </row>
    <row r="59" spans="1:7" x14ac:dyDescent="0.3">
      <c r="A59">
        <v>2023</v>
      </c>
      <c r="B59">
        <v>6</v>
      </c>
      <c r="C59" t="s">
        <v>72</v>
      </c>
      <c r="D59" t="s">
        <v>15</v>
      </c>
      <c r="F59" t="str">
        <f>Tabla1[[#This Row],[precip_mm]]</f>
        <v>6.62</v>
      </c>
      <c r="G59" t="str">
        <f>Tabla1[[#This Row],[precip_mm]]</f>
        <v>6.62</v>
      </c>
    </row>
    <row r="60" spans="1:7" x14ac:dyDescent="0.3">
      <c r="A60">
        <v>2023</v>
      </c>
      <c r="B60">
        <v>7</v>
      </c>
      <c r="C60" t="s">
        <v>73</v>
      </c>
      <c r="D60" t="s">
        <v>17</v>
      </c>
      <c r="F60" t="str">
        <f>Tabla1[[#This Row],[precip_mm]]</f>
        <v>6.06</v>
      </c>
      <c r="G60" t="str">
        <f>Tabla1[[#This Row],[precip_mm]]</f>
        <v>6.06</v>
      </c>
    </row>
    <row r="61" spans="1:7" x14ac:dyDescent="0.3">
      <c r="A61">
        <v>2023</v>
      </c>
      <c r="B61">
        <v>8</v>
      </c>
      <c r="C61" t="s">
        <v>74</v>
      </c>
      <c r="D61" t="s">
        <v>19</v>
      </c>
      <c r="F61" t="str">
        <f>Tabla1[[#This Row],[precip_mm]]</f>
        <v>5.11</v>
      </c>
      <c r="G61" t="str">
        <f>Tabla1[[#This Row],[precip_mm]]</f>
        <v>5.11</v>
      </c>
    </row>
    <row r="62" spans="1:7" x14ac:dyDescent="0.3">
      <c r="A62">
        <v>2023</v>
      </c>
      <c r="B62">
        <v>9</v>
      </c>
      <c r="C62" t="s">
        <v>75</v>
      </c>
      <c r="D62" t="s">
        <v>21</v>
      </c>
      <c r="F62" t="str">
        <f>Tabla1[[#This Row],[precip_mm]]</f>
        <v>5.14</v>
      </c>
      <c r="G62" t="str">
        <f>Tabla1[[#This Row],[precip_mm]]</f>
        <v>5.14</v>
      </c>
    </row>
    <row r="63" spans="1:7" x14ac:dyDescent="0.3">
      <c r="A63">
        <v>2023</v>
      </c>
      <c r="B63">
        <v>10</v>
      </c>
      <c r="C63" t="s">
        <v>76</v>
      </c>
      <c r="D63" t="s">
        <v>23</v>
      </c>
      <c r="F63" t="str">
        <f>Tabla1[[#This Row],[precip_mm]]</f>
        <v>6.91</v>
      </c>
      <c r="G63" t="str">
        <f>Tabla1[[#This Row],[precip_mm]]</f>
        <v>6.91</v>
      </c>
    </row>
    <row r="64" spans="1:7" x14ac:dyDescent="0.3">
      <c r="A64">
        <v>2023</v>
      </c>
      <c r="B64">
        <v>11</v>
      </c>
      <c r="C64" t="s">
        <v>77</v>
      </c>
      <c r="D64" t="s">
        <v>25</v>
      </c>
      <c r="F64" t="str">
        <f>Tabla1[[#This Row],[precip_mm]]</f>
        <v>5.16</v>
      </c>
      <c r="G64" t="str">
        <f>Tabla1[[#This Row],[precip_mm]]</f>
        <v>5.16</v>
      </c>
    </row>
    <row r="65" spans="1:7" x14ac:dyDescent="0.3">
      <c r="A65">
        <v>2023</v>
      </c>
      <c r="B65">
        <v>12</v>
      </c>
      <c r="C65" t="s">
        <v>78</v>
      </c>
      <c r="D65" t="s">
        <v>27</v>
      </c>
      <c r="F65" t="str">
        <f>Tabla1[[#This Row],[precip_mm]]</f>
        <v>4.27</v>
      </c>
      <c r="G65" t="str">
        <f>Tabla1[[#This Row],[precip_mm]]</f>
        <v>4.27</v>
      </c>
    </row>
    <row r="66" spans="1:7" x14ac:dyDescent="0.3">
      <c r="A66">
        <v>2023</v>
      </c>
      <c r="B66">
        <v>13</v>
      </c>
      <c r="C66" t="s">
        <v>20</v>
      </c>
      <c r="F66" t="str">
        <f>Tabla1[[#This Row],[precip_mm]]</f>
        <v>5.57</v>
      </c>
      <c r="G66" t="str">
        <f>Tabla1[[#This Row],[precip_mm]]</f>
        <v>5.57</v>
      </c>
    </row>
    <row r="67" spans="1:7" x14ac:dyDescent="0.3">
      <c r="A67">
        <v>2024</v>
      </c>
      <c r="B67">
        <v>1</v>
      </c>
      <c r="C67" t="s">
        <v>79</v>
      </c>
      <c r="D67" t="s">
        <v>5</v>
      </c>
      <c r="F67" t="str">
        <f>Tabla1[[#This Row],[precip_mm]]</f>
        <v>0.28</v>
      </c>
      <c r="G67" t="str">
        <f>Tabla1[[#This Row],[precip_mm]]</f>
        <v>0.28</v>
      </c>
    </row>
    <row r="68" spans="1:7" x14ac:dyDescent="0.3">
      <c r="A68">
        <v>2024</v>
      </c>
      <c r="B68">
        <v>2</v>
      </c>
      <c r="C68" t="s">
        <v>80</v>
      </c>
      <c r="D68" t="s">
        <v>7</v>
      </c>
      <c r="F68" t="str">
        <f>Tabla1[[#This Row],[precip_mm]]</f>
        <v>1.84</v>
      </c>
      <c r="G68" t="str">
        <f>Tabla1[[#This Row],[precip_mm]]</f>
        <v>1.84</v>
      </c>
    </row>
    <row r="69" spans="1:7" x14ac:dyDescent="0.3">
      <c r="A69">
        <v>2024</v>
      </c>
      <c r="B69">
        <v>3</v>
      </c>
      <c r="C69" t="s">
        <v>81</v>
      </c>
      <c r="D69" t="s">
        <v>9</v>
      </c>
      <c r="F69" t="str">
        <f>Tabla1[[#This Row],[precip_mm]]</f>
        <v>2.87</v>
      </c>
      <c r="G69" t="str">
        <f>Tabla1[[#This Row],[precip_mm]]</f>
        <v>2.87</v>
      </c>
    </row>
    <row r="70" spans="1:7" x14ac:dyDescent="0.3">
      <c r="A70">
        <v>2024</v>
      </c>
      <c r="B70">
        <v>4</v>
      </c>
      <c r="C70" t="s">
        <v>82</v>
      </c>
      <c r="D70" t="s">
        <v>11</v>
      </c>
      <c r="F70" t="str">
        <f>Tabla1[[#This Row],[precip_mm]]</f>
        <v>6.04</v>
      </c>
      <c r="G70" t="str">
        <f>Tabla1[[#This Row],[precip_mm]]</f>
        <v>6.04</v>
      </c>
    </row>
    <row r="71" spans="1:7" x14ac:dyDescent="0.3">
      <c r="A71">
        <v>2024</v>
      </c>
      <c r="B71">
        <v>5</v>
      </c>
      <c r="C71" t="s">
        <v>83</v>
      </c>
      <c r="D71" t="s">
        <v>13</v>
      </c>
      <c r="F71" t="str">
        <f>Tabla1[[#This Row],[precip_mm]]</f>
        <v>11.63</v>
      </c>
      <c r="G71" t="str">
        <f>Tabla1[[#This Row],[precip_mm]]</f>
        <v>11.63</v>
      </c>
    </row>
    <row r="72" spans="1:7" x14ac:dyDescent="0.3">
      <c r="A72">
        <v>2024</v>
      </c>
      <c r="B72">
        <v>6</v>
      </c>
      <c r="C72" t="s">
        <v>84</v>
      </c>
      <c r="D72" t="s">
        <v>15</v>
      </c>
      <c r="F72" t="str">
        <f>Tabla1[[#This Row],[precip_mm]]</f>
        <v>8.6</v>
      </c>
      <c r="G72" t="str">
        <f>Tabla1[[#This Row],[precip_mm]]</f>
        <v>8.6</v>
      </c>
    </row>
    <row r="73" spans="1:7" x14ac:dyDescent="0.3">
      <c r="A73">
        <v>2024</v>
      </c>
      <c r="B73">
        <v>7</v>
      </c>
      <c r="C73" t="s">
        <v>85</v>
      </c>
      <c r="D73" t="s">
        <v>17</v>
      </c>
      <c r="F73" t="str">
        <f>Tabla1[[#This Row],[precip_mm]]</f>
        <v>4.74</v>
      </c>
      <c r="G73" t="str">
        <f>Tabla1[[#This Row],[precip_mm]]</f>
        <v>4.74</v>
      </c>
    </row>
    <row r="74" spans="1:7" x14ac:dyDescent="0.3">
      <c r="A74">
        <v>2024</v>
      </c>
      <c r="B74">
        <v>8</v>
      </c>
      <c r="C74" t="s">
        <v>86</v>
      </c>
      <c r="D74" t="s">
        <v>19</v>
      </c>
      <c r="F74" t="str">
        <f>Tabla1[[#This Row],[precip_mm]]</f>
        <v>2.77</v>
      </c>
      <c r="G74" t="str">
        <f>Tabla1[[#This Row],[precip_mm]]</f>
        <v>2.77</v>
      </c>
    </row>
    <row r="75" spans="1:7" x14ac:dyDescent="0.3">
      <c r="A75">
        <v>2024</v>
      </c>
      <c r="B75">
        <v>9</v>
      </c>
      <c r="C75" t="s">
        <v>87</v>
      </c>
      <c r="D75" t="s">
        <v>21</v>
      </c>
      <c r="F75" t="str">
        <f>Tabla1[[#This Row],[precip_mm]]</f>
        <v>3.7</v>
      </c>
      <c r="G75" t="str">
        <f>Tabla1[[#This Row],[precip_mm]]</f>
        <v>3.7</v>
      </c>
    </row>
    <row r="76" spans="1:7" x14ac:dyDescent="0.3">
      <c r="A76">
        <v>2024</v>
      </c>
      <c r="B76">
        <v>10</v>
      </c>
      <c r="C76" t="s">
        <v>88</v>
      </c>
      <c r="D76" t="s">
        <v>23</v>
      </c>
      <c r="F76" t="str">
        <f>Tabla1[[#This Row],[precip_mm]]</f>
        <v>7.0</v>
      </c>
      <c r="G76" t="str">
        <f>Tabla1[[#This Row],[precip_mm]]</f>
        <v>7.0</v>
      </c>
    </row>
    <row r="77" spans="1:7" x14ac:dyDescent="0.3">
      <c r="A77">
        <v>2024</v>
      </c>
      <c r="B77">
        <v>11</v>
      </c>
      <c r="C77" t="s">
        <v>89</v>
      </c>
      <c r="D77" t="s">
        <v>25</v>
      </c>
      <c r="F77" t="str">
        <f>Tabla1[[#This Row],[precip_mm]]</f>
        <v>7.47</v>
      </c>
      <c r="G77" t="str">
        <f>Tabla1[[#This Row],[precip_mm]]</f>
        <v>7.47</v>
      </c>
    </row>
    <row r="78" spans="1:7" x14ac:dyDescent="0.3">
      <c r="A78">
        <v>2024</v>
      </c>
      <c r="B78">
        <v>12</v>
      </c>
      <c r="C78" t="s">
        <v>90</v>
      </c>
      <c r="D78" t="s">
        <v>27</v>
      </c>
      <c r="F78" t="str">
        <f>Tabla1[[#This Row],[precip_mm]]</f>
        <v>4.34</v>
      </c>
      <c r="G78" t="str">
        <f>Tabla1[[#This Row],[precip_mm]]</f>
        <v>4.34</v>
      </c>
    </row>
    <row r="79" spans="1:7" x14ac:dyDescent="0.3">
      <c r="A79">
        <v>2024</v>
      </c>
      <c r="B79">
        <v>13</v>
      </c>
      <c r="C79" t="s">
        <v>74</v>
      </c>
      <c r="F79" t="str">
        <f>Tabla1[[#This Row],[precip_mm]]</f>
        <v>5.11</v>
      </c>
      <c r="G79" t="str">
        <f>Tabla1[[#This Row],[precip_mm]]</f>
        <v>5.11</v>
      </c>
    </row>
    <row r="80" spans="1:7" x14ac:dyDescent="0.3">
      <c r="A80">
        <v>2025</v>
      </c>
      <c r="B80">
        <v>1</v>
      </c>
      <c r="C80" t="s">
        <v>91</v>
      </c>
      <c r="D80" t="s">
        <v>5</v>
      </c>
      <c r="F80" t="str">
        <f>Tabla1[[#This Row],[precip_mm]]</f>
        <v>2.26</v>
      </c>
      <c r="G80" t="str">
        <f>Tabla1[[#This Row],[precip_mm]]</f>
        <v>2.26</v>
      </c>
    </row>
    <row r="81" spans="1:7" x14ac:dyDescent="0.3">
      <c r="A81">
        <v>2025</v>
      </c>
      <c r="B81">
        <v>2</v>
      </c>
      <c r="C81" t="s">
        <v>92</v>
      </c>
      <c r="D81" t="s">
        <v>7</v>
      </c>
      <c r="F81" t="str">
        <f>Tabla1[[#This Row],[precip_mm]]</f>
        <v>3.04</v>
      </c>
      <c r="G81" t="str">
        <f>Tabla1[[#This Row],[precip_mm]]</f>
        <v>3.04</v>
      </c>
    </row>
    <row r="82" spans="1:7" x14ac:dyDescent="0.3">
      <c r="A82">
        <v>2025</v>
      </c>
      <c r="B82">
        <v>3</v>
      </c>
      <c r="C82" t="s">
        <v>93</v>
      </c>
      <c r="D82" t="s">
        <v>9</v>
      </c>
      <c r="F82" t="str">
        <f>Tabla1[[#This Row],[precip_mm]]</f>
        <v>7.92</v>
      </c>
      <c r="G82" t="str">
        <f>Tabla1[[#This Row],[precip_mm]]</f>
        <v>7.92</v>
      </c>
    </row>
    <row r="83" spans="1:7" x14ac:dyDescent="0.3">
      <c r="A83">
        <v>2025</v>
      </c>
      <c r="B83">
        <v>4</v>
      </c>
      <c r="C83" t="s">
        <v>94</v>
      </c>
      <c r="D83" t="s">
        <v>11</v>
      </c>
      <c r="F83" t="str">
        <f>Tabla1[[#This Row],[precip_mm]]</f>
        <v>17.02</v>
      </c>
      <c r="G83" t="str">
        <f>Tabla1[[#This Row],[precip_mm]]</f>
        <v>17.02</v>
      </c>
    </row>
    <row r="84" spans="1:7" x14ac:dyDescent="0.3">
      <c r="A84">
        <v>2025</v>
      </c>
      <c r="B84">
        <v>5</v>
      </c>
      <c r="C84" t="s">
        <v>24</v>
      </c>
      <c r="D84" t="s">
        <v>13</v>
      </c>
      <c r="F84" t="str">
        <f>Tabla1[[#This Row],[precip_mm]]</f>
        <v>9.72</v>
      </c>
      <c r="G84" t="str">
        <f>Tabla1[[#This Row],[precip_mm]]</f>
        <v>9.72</v>
      </c>
    </row>
    <row r="85" spans="1:7" x14ac:dyDescent="0.3">
      <c r="A85">
        <v>2025</v>
      </c>
      <c r="B85">
        <v>6</v>
      </c>
      <c r="C85" t="s">
        <v>95</v>
      </c>
      <c r="D85" t="s">
        <v>15</v>
      </c>
      <c r="F85" t="str">
        <f>Tabla1[[#This Row],[precip_mm]]</f>
        <v>11.17</v>
      </c>
      <c r="G85" t="str">
        <f>Tabla1[[#This Row],[precip_mm]]</f>
        <v>11.17</v>
      </c>
    </row>
    <row r="86" spans="1:7" x14ac:dyDescent="0.3">
      <c r="A86">
        <v>2025</v>
      </c>
      <c r="B86">
        <v>7</v>
      </c>
      <c r="C86" t="s">
        <v>31</v>
      </c>
      <c r="D86" t="s">
        <v>17</v>
      </c>
      <c r="F86" t="str">
        <f>Tabla1[[#This Row],[precip_mm]]</f>
        <v>4.3</v>
      </c>
      <c r="G86" t="str">
        <f>Tabla1[[#This Row],[precip_mm]]</f>
        <v>4.3</v>
      </c>
    </row>
    <row r="87" spans="1:7" x14ac:dyDescent="0.3">
      <c r="A87">
        <v>2025</v>
      </c>
      <c r="B87">
        <v>8</v>
      </c>
      <c r="C87" t="s">
        <v>96</v>
      </c>
      <c r="D87" t="s">
        <v>19</v>
      </c>
      <c r="F87" t="str">
        <f>Tabla1[[#This Row],[precip_mm]]</f>
        <v>5.7</v>
      </c>
      <c r="G87" t="str">
        <f>Tabla1[[#This Row],[precip_mm]]</f>
        <v>5.7</v>
      </c>
    </row>
    <row r="88" spans="1:7" x14ac:dyDescent="0.3">
      <c r="A88">
        <v>2025</v>
      </c>
      <c r="B88">
        <v>9</v>
      </c>
      <c r="C88" t="s">
        <v>97</v>
      </c>
      <c r="D88" t="s">
        <v>21</v>
      </c>
      <c r="F88" t="str">
        <f>Tabla1[[#This Row],[precip_mm]]</f>
        <v>4.14</v>
      </c>
      <c r="G88" t="str">
        <f>Tabla1[[#This Row],[precip_mm]]</f>
        <v>4.14</v>
      </c>
    </row>
    <row r="89" spans="1:7" x14ac:dyDescent="0.3">
      <c r="A89">
        <v>2025</v>
      </c>
      <c r="B89">
        <v>10</v>
      </c>
      <c r="C89" t="s">
        <v>98</v>
      </c>
      <c r="D89" t="s">
        <v>23</v>
      </c>
      <c r="F89" t="str">
        <f>Tabla1[[#This Row],[precip_mm]]</f>
        <v>7.62</v>
      </c>
      <c r="G89" t="str">
        <f>Tabla1[[#This Row],[precip_mm]]</f>
        <v>7.62</v>
      </c>
    </row>
    <row r="90" spans="1:7" x14ac:dyDescent="0.3">
      <c r="A90">
        <v>2025</v>
      </c>
      <c r="B90">
        <v>11</v>
      </c>
      <c r="C90" t="s">
        <v>99</v>
      </c>
      <c r="D90" t="s">
        <v>25</v>
      </c>
      <c r="F90" t="str">
        <f>Tabla1[[#This Row],[precip_mm]]</f>
        <v>3.68</v>
      </c>
      <c r="G90" t="str">
        <f>Tabla1[[#This Row],[precip_mm]]</f>
        <v>3.68</v>
      </c>
    </row>
    <row r="91" spans="1:7" x14ac:dyDescent="0.3">
      <c r="A91">
        <v>2025</v>
      </c>
      <c r="B91">
        <v>12</v>
      </c>
      <c r="C91" t="s">
        <v>100</v>
      </c>
      <c r="D91" t="s">
        <v>27</v>
      </c>
      <c r="F91" t="str">
        <f>Tabla1[[#This Row],[precip_mm]]</f>
        <v>2.16</v>
      </c>
      <c r="G91" t="str">
        <f>Tabla1[[#This Row],[precip_mm]]</f>
        <v>2.16</v>
      </c>
    </row>
    <row r="92" spans="1:7" x14ac:dyDescent="0.3">
      <c r="A92">
        <v>2025</v>
      </c>
      <c r="B92">
        <v>13</v>
      </c>
      <c r="C92" t="s">
        <v>66</v>
      </c>
      <c r="F92" t="str">
        <f>Tabla1[[#This Row],[precip_mm]]</f>
        <v>6.56</v>
      </c>
      <c r="G92" t="str">
        <f>Tabla1[[#This Row],[precip_mm]]</f>
        <v>6.56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precipitacion_boyaca_cundinamar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Yeison Esteban Mesa Sierra</dc:creator>
  <cp:lastModifiedBy>User</cp:lastModifiedBy>
  <dcterms:created xsi:type="dcterms:W3CDTF">2026-04-18T15:19:35Z</dcterms:created>
  <dcterms:modified xsi:type="dcterms:W3CDTF">2026-04-18T15:19:35Z</dcterms:modified>
</cp:coreProperties>
</file>